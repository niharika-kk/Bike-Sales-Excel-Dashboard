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KARUNAKARAN\Downloads\"/>
    </mc:Choice>
  </mc:AlternateContent>
  <xr:revisionPtr revIDLastSave="0" documentId="13_ncr:1_{F055430A-34C5-4C82-A97D-44B3D12E8AD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3" i="4"/>
  <c r="M4" i="4"/>
  <c r="M5" i="4"/>
  <c r="M6" i="4"/>
  <c r="M7" i="4"/>
  <c r="M8" i="4"/>
  <c r="M9" i="4"/>
  <c r="M10" i="4"/>
  <c r="M11" i="4"/>
  <c r="M12" i="4"/>
  <c r="M13" i="4"/>
  <c r="M14" i="4"/>
  <c r="M15" i="4"/>
  <c r="M16" i="4"/>
  <c r="M17" i="4"/>
  <c r="M18" i="4"/>
  <c r="M19" i="4"/>
  <c r="M20" i="4"/>
  <c r="M21" i="4"/>
  <c r="M22" i="4"/>
  <c r="M23" i="4"/>
  <c r="M2" i="4"/>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<sst xmlns="http://schemas.openxmlformats.org/spreadsheetml/2006/main" count="16266" uniqueCount="50">
  <si>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</si>
  <si>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</si>
  <si>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</si>
  <si>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</si>
  <si>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</si>
  <si>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</si>
  <si>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</si>
  <si>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</si>
  <si>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</si>
  <si>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</si>
  <si>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</si>
  <si>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</si>
  <si>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</si>
  <si>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</si>
  <si>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</si>
  <si>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</si>
  <si>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</si>
  <si>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</si>
  <si>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</si>
  <si>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</si>
  <si>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</si>
  <si>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</si>
  <si>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</si>
  <si>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</si>
  <si>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</si>
  <si>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</si>
  <si>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</si>
  <si>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</si>
  <si>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</si>
  <si>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</si>
  <si>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</si>
  <si>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</si>
  <si>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</si>
  <si>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</si>
  <si>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</si>
  <si>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</si>
  <si>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</si>
  <si>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</si>
  <si>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</si>
  <si>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Age updated</t>
  </si>
  <si>
    <t>Female</t>
  </si>
  <si>
    <t>Column Labels</t>
  </si>
  <si>
    <t>Grand Total</t>
  </si>
  <si>
    <t>Row Labels</t>
  </si>
  <si>
    <t>Average of Income</t>
  </si>
  <si>
    <t>More than 10 Miles</t>
  </si>
  <si>
    <t>Count of Purchased Bike</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</si>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</sst>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42" applyNumberFormat="1" applyFont="1"/>
    <xf numFmtId="166" fontId="0" fillId="0" borderId="0" xfId="0" applyNumberFormat="1"/>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xf numFmtId="0" fontId="0" fillId="0" borderId="0" xfId="0" applyAlignment="1">
      <alignment vertical="center"/>
    </xf>
    <xf numFmtId="0" fontId="0" fillId="0" borderId="0" xfId="0" applyAlignment="1">
      <alignmen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6">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2" formatCode="0.00"/>
    </dxf>
    <dxf>
      <numFmt numFmtId="2" formatCode="0.00"/>
    </dxf>
    <dxf>
      <numFmt numFmtId="2" formatCode="0.00"/>
    </dxf>
    <dxf>
      <numFmt numFmtId="166" formatCode="_ * #,##0_ ;_ * \-#,##0_ ;_ * &quot;-&quot;??_ ;_ @_ "/>
    </dxf>
    <dxf>
      <numFmt numFmtId="166" formatCode="_ * #,##0_ ;_ * \-#,##0_ ;_ * &quot;-&quot;??_ ;_ @_ "/>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7955-40EB-B361-4930F6D8FDE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66000</c:v>
                </c:pt>
                <c:pt idx="1">
                  <c:v>70625</c:v>
                </c:pt>
              </c:numCache>
            </c:numRef>
          </c:val>
          <c:extLst>
            <c:ext xmlns:c16="http://schemas.microsoft.com/office/drawing/2014/chart" uri="{C3380CC4-5D6E-409C-BE32-E72D297353CC}">
              <c16:uniqueId val="{00000001-7955-40EB-B361-4930F6D8FDEE}"/>
            </c:ext>
          </c:extLst>
        </c:ser>
        <c:dLbls>
          <c:showLegendKey val="0"/>
          <c:showVal val="0"/>
          <c:showCatName val="0"/>
          <c:showSerName val="0"/>
          <c:showPercent val="0"/>
          <c:showBubbleSize val="0"/>
        </c:dLbls>
        <c:gapWidth val="219"/>
        <c:overlap val="-27"/>
        <c:axId val="1081469919"/>
        <c:axId val="1081493439"/>
      </c:barChart>
      <c:catAx>
        <c:axId val="108146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93439"/>
        <c:crosses val="autoZero"/>
        <c:auto val="1"/>
        <c:lblAlgn val="ctr"/>
        <c:lblOffset val="100"/>
        <c:noMultiLvlLbl val="0"/>
      </c:catAx>
      <c:valAx>
        <c:axId val="108149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6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9663-4300-8E69-9900F919C526}"/>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9663-4300-8E69-9900F919C526}"/>
            </c:ext>
          </c:extLst>
        </c:ser>
        <c:dLbls>
          <c:showLegendKey val="0"/>
          <c:showVal val="0"/>
          <c:showCatName val="0"/>
          <c:showSerName val="0"/>
          <c:showPercent val="0"/>
          <c:showBubbleSize val="0"/>
        </c:dLbls>
        <c:smooth val="0"/>
        <c:axId val="1721024559"/>
        <c:axId val="1721035119"/>
      </c:lineChart>
      <c:catAx>
        <c:axId val="172102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7798490813648289"/>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35119"/>
        <c:crosses val="autoZero"/>
        <c:auto val="1"/>
        <c:lblAlgn val="ctr"/>
        <c:lblOffset val="100"/>
        <c:noMultiLvlLbl val="0"/>
      </c:catAx>
      <c:valAx>
        <c:axId val="17210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Middle Age</c:v>
                </c:pt>
                <c:pt idx="1">
                  <c:v>Old</c:v>
                </c:pt>
              </c:strCache>
            </c:strRef>
          </c:cat>
          <c:val>
            <c:numRef>
              <c:f>'Pivot table'!$B$40:$B$42</c:f>
              <c:numCache>
                <c:formatCode>General</c:formatCode>
                <c:ptCount val="2"/>
                <c:pt idx="0">
                  <c:v>25</c:v>
                </c:pt>
                <c:pt idx="1">
                  <c:v>15</c:v>
                </c:pt>
              </c:numCache>
            </c:numRef>
          </c:val>
          <c:smooth val="0"/>
          <c:extLst>
            <c:ext xmlns:c16="http://schemas.microsoft.com/office/drawing/2014/chart" uri="{C3380CC4-5D6E-409C-BE32-E72D297353CC}">
              <c16:uniqueId val="{00000000-2B6D-4F47-8D78-63B7CC981DBA}"/>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Middle Age</c:v>
                </c:pt>
                <c:pt idx="1">
                  <c:v>Old</c:v>
                </c:pt>
              </c:strCache>
            </c:strRef>
          </c:cat>
          <c:val>
            <c:numRef>
              <c:f>'Pivot table'!$C$40:$C$42</c:f>
              <c:numCache>
                <c:formatCode>General</c:formatCode>
                <c:ptCount val="2"/>
                <c:pt idx="0">
                  <c:v>30</c:v>
                </c:pt>
                <c:pt idx="1">
                  <c:v>1</c:v>
                </c:pt>
              </c:numCache>
            </c:numRef>
          </c:val>
          <c:smooth val="0"/>
          <c:extLst>
            <c:ext xmlns:c16="http://schemas.microsoft.com/office/drawing/2014/chart" uri="{C3380CC4-5D6E-409C-BE32-E72D297353CC}">
              <c16:uniqueId val="{00000001-2B6D-4F47-8D78-63B7CC981DBA}"/>
            </c:ext>
          </c:extLst>
        </c:ser>
        <c:dLbls>
          <c:showLegendKey val="0"/>
          <c:showVal val="0"/>
          <c:showCatName val="0"/>
          <c:showSerName val="0"/>
          <c:showPercent val="0"/>
          <c:showBubbleSize val="0"/>
        </c:dLbls>
        <c:smooth val="0"/>
        <c:axId val="778998943"/>
        <c:axId val="778998463"/>
      </c:lineChart>
      <c:catAx>
        <c:axId val="77899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98463"/>
        <c:crosses val="autoZero"/>
        <c:auto val="1"/>
        <c:lblAlgn val="ctr"/>
        <c:lblOffset val="100"/>
        <c:noMultiLvlLbl val="0"/>
      </c:catAx>
      <c:valAx>
        <c:axId val="77899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66428.571428571435</c:v>
                </c:pt>
                <c:pt idx="1">
                  <c:v>75384.61538461539</c:v>
                </c:pt>
              </c:numCache>
            </c:numRef>
          </c:val>
          <c:extLst>
            <c:ext xmlns:c16="http://schemas.microsoft.com/office/drawing/2014/chart" uri="{C3380CC4-5D6E-409C-BE32-E72D297353CC}">
              <c16:uniqueId val="{00000000-CB14-4871-A6FD-3A173A8A64D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66000</c:v>
                </c:pt>
                <c:pt idx="1">
                  <c:v>70625</c:v>
                </c:pt>
              </c:numCache>
            </c:numRef>
          </c:val>
          <c:extLst>
            <c:ext xmlns:c16="http://schemas.microsoft.com/office/drawing/2014/chart" uri="{C3380CC4-5D6E-409C-BE32-E72D297353CC}">
              <c16:uniqueId val="{00000001-CB14-4871-A6FD-3A173A8A64DB}"/>
            </c:ext>
          </c:extLst>
        </c:ser>
        <c:dLbls>
          <c:showLegendKey val="0"/>
          <c:showVal val="0"/>
          <c:showCatName val="0"/>
          <c:showSerName val="0"/>
          <c:showPercent val="0"/>
          <c:showBubbleSize val="0"/>
        </c:dLbls>
        <c:gapWidth val="219"/>
        <c:overlap val="-27"/>
        <c:axId val="1081469919"/>
        <c:axId val="1081493439"/>
      </c:barChart>
      <c:catAx>
        <c:axId val="1081469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93439"/>
        <c:crosses val="autoZero"/>
        <c:auto val="1"/>
        <c:lblAlgn val="ctr"/>
        <c:lblOffset val="100"/>
        <c:noMultiLvlLbl val="0"/>
      </c:catAx>
      <c:valAx>
        <c:axId val="1081493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469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0A68-4788-89EA-2CDC78DC84A5}"/>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0A68-4788-89EA-2CDC78DC84A5}"/>
            </c:ext>
          </c:extLst>
        </c:ser>
        <c:dLbls>
          <c:showLegendKey val="0"/>
          <c:showVal val="0"/>
          <c:showCatName val="0"/>
          <c:showSerName val="0"/>
          <c:showPercent val="0"/>
          <c:showBubbleSize val="0"/>
        </c:dLbls>
        <c:smooth val="0"/>
        <c:axId val="1721024559"/>
        <c:axId val="1721035119"/>
      </c:lineChart>
      <c:catAx>
        <c:axId val="172102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manualLayout>
              <c:xMode val="edge"/>
              <c:yMode val="edge"/>
              <c:x val="0.37798490813648289"/>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35119"/>
        <c:crosses val="autoZero"/>
        <c:auto val="1"/>
        <c:lblAlgn val="ctr"/>
        <c:lblOffset val="100"/>
        <c:noMultiLvlLbl val="0"/>
      </c:catAx>
      <c:valAx>
        <c:axId val="172103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[Bike_buyers_raw_data.xlsx]Pivot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table'!$A$40:$A$42</c:f>
              <c:strCache>
                <c:ptCount val="2"/>
                <c:pt idx="0">
                  <c:v>Middle Age</c:v>
                </c:pt>
                <c:pt idx="1">
                  <c:v>Old</c:v>
                </c:pt>
              </c:strCache>
            </c:strRef>
          </c:cat>
          <c:val>
            <c:numRef>
              <c:f>'Pivot table'!$B$40:$B$42</c:f>
              <c:numCache>
                <c:formatCode>General</c:formatCode>
                <c:ptCount val="2"/>
                <c:pt idx="0">
                  <c:v>25</c:v>
                </c:pt>
                <c:pt idx="1">
                  <c:v>15</c:v>
                </c:pt>
              </c:numCache>
            </c:numRef>
          </c:val>
          <c:smooth val="0"/>
          <c:extLst>
            <c:ext xmlns:c16="http://schemas.microsoft.com/office/drawing/2014/chart" uri="{C3380CC4-5D6E-409C-BE32-E72D297353CC}">
              <c16:uniqueId val="{00000000-3C92-4975-996D-11926D298D30}"/>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table'!$A$40:$A$42</c:f>
              <c:strCache>
                <c:ptCount val="2"/>
                <c:pt idx="0">
                  <c:v>Middle Age</c:v>
                </c:pt>
                <c:pt idx="1">
                  <c:v>Old</c:v>
                </c:pt>
              </c:strCache>
            </c:strRef>
          </c:cat>
          <c:val>
            <c:numRef>
              <c:f>'Pivot table'!$C$40:$C$42</c:f>
              <c:numCache>
                <c:formatCode>General</c:formatCode>
                <c:ptCount val="2"/>
                <c:pt idx="0">
                  <c:v>30</c:v>
                </c:pt>
                <c:pt idx="1">
                  <c:v>1</c:v>
                </c:pt>
              </c:numCache>
            </c:numRef>
          </c:val>
          <c:smooth val="0"/>
          <c:extLst>
            <c:ext xmlns:c16="http://schemas.microsoft.com/office/drawing/2014/chart" uri="{C3380CC4-5D6E-409C-BE32-E72D297353CC}">
              <c16:uniqueId val="{00000001-3C92-4975-996D-11926D298D30}"/>
            </c:ext>
          </c:extLst>
        </c:ser>
        <c:dLbls>
          <c:showLegendKey val="0"/>
          <c:showVal val="0"/>
          <c:showCatName val="0"/>
          <c:showSerName val="0"/>
          <c:showPercent val="0"/>
          <c:showBubbleSize val="0"/>
        </c:dLbls>
        <c:smooth val="0"/>
        <c:axId val="778998943"/>
        <c:axId val="778998463"/>
      </c:lineChart>
      <c:catAx>
        <c:axId val="778998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98463"/>
        <c:crosses val="autoZero"/>
        <c:auto val="1"/>
        <c:lblAlgn val="ctr"/>
        <c:lblOffset val="100"/>
        <c:noMultiLvlLbl val="0"/>
      </c:catAx>
      <c:valAx>
        <c:axId val="77899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9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541020</xdr:colOff>
      <xdr:row>15</xdr:row>
      <xdr:rowOff>30480</xdr:rowOff>
    </xdr:to>
    <xdr:graphicFrame macro="">
      <xdr:nvGraphicFramePr>
        <xdr:cNvPr id="2" name="Chart 1">
          <a:extLst>
            <a:ext uri="{FF2B5EF4-FFF2-40B4-BE49-F238E27FC236}">
              <a16:creationId xmlns:a16="http://schemas.microsoft.com/office/drawing/2014/main" id="{84FBC5EA-0DF3-A0C2-5E50-FF416DB0B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18</xdr:row>
      <xdr:rowOff>140970</xdr:rowOff>
    </xdr:from>
    <xdr:to>
      <xdr:col>12</xdr:col>
      <xdr:colOff>373380</xdr:colOff>
      <xdr:row>33</xdr:row>
      <xdr:rowOff>140970</xdr:rowOff>
    </xdr:to>
    <xdr:graphicFrame macro="">
      <xdr:nvGraphicFramePr>
        <xdr:cNvPr id="3" name="Chart 2">
          <a:extLst>
            <a:ext uri="{FF2B5EF4-FFF2-40B4-BE49-F238E27FC236}">
              <a16:creationId xmlns:a16="http://schemas.microsoft.com/office/drawing/2014/main" id="{E0CC35BF-0CC5-546A-F710-F30EAAA05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36</xdr:row>
      <xdr:rowOff>148590</xdr:rowOff>
    </xdr:from>
    <xdr:to>
      <xdr:col>12</xdr:col>
      <xdr:colOff>327660</xdr:colOff>
      <xdr:row>51</xdr:row>
      <xdr:rowOff>148590</xdr:rowOff>
    </xdr:to>
    <xdr:graphicFrame macro="">
      <xdr:nvGraphicFramePr>
        <xdr:cNvPr id="4" name="Chart 3">
          <a:extLst>
            <a:ext uri="{FF2B5EF4-FFF2-40B4-BE49-F238E27FC236}">
              <a16:creationId xmlns:a16="http://schemas.microsoft.com/office/drawing/2014/main" id="{6D2CABF2-D37E-0A1A-1307-F2EB7E6FE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327660</xdr:colOff>
      <xdr:row>4</xdr:row>
      <xdr:rowOff>175260</xdr:rowOff>
    </xdr:from>
    <xdr:to>
      <xdr:col>5</xdr:col>
      <xdr:colOff>403860</xdr:colOff>
      <xdr:row>18</xdr:row>
      <xdr:rowOff>76200</xdr:rowOff>
    </xdr:to>
    <xdr:graphicFrame macro="">
      <xdr:nvGraphicFramePr>
        <xdr:cNvPr id="2" name="Chart 1">
          <a:extLst>
            <a:ext uri="{FF2B5EF4-FFF2-40B4-BE49-F238E27FC236}">
              <a16:creationId xmlns:a16="http://schemas.microsoft.com/office/drawing/2014/main" id="{B9562807-72C0-4D39-94F7-CD30CECEB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327660</xdr:colOff>
      <xdr:row>18</xdr:row>
      <xdr:rowOff>76200</xdr:rowOff>
    </xdr:from>
    <xdr:to>
      <xdr:col>11</xdr:col>
      <xdr:colOff>15240</xdr:colOff>
      <xdr:row>31</xdr:row>
      <xdr:rowOff>167640</xdr:rowOff>
    </xdr:to>
    <xdr:graphicFrame macro="">
      <xdr:nvGraphicFramePr>
        <xdr:cNvPr id="3" name="Chart 2">
          <a:extLst>
            <a:ext uri="{FF2B5EF4-FFF2-40B4-BE49-F238E27FC236}">
              <a16:creationId xmlns:a16="http://schemas.microsoft.com/office/drawing/2014/main" id="{0AC1B7F3-9451-4E5B-A87E-2C1AA6C6E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396240</xdr:colOff>
      <xdr:row>5</xdr:row>
      <xdr:rowOff>7620</xdr:rowOff>
    </xdr:from>
    <xdr:to>
      <xdr:col>11</xdr:col>
      <xdr:colOff>0</xdr:colOff>
      <xdr:row>18</xdr:row>
      <xdr:rowOff>76200</xdr:rowOff>
    </xdr:to>
    <xdr:graphicFrame macro="">
      <xdr:nvGraphicFramePr>
        <xdr:cNvPr id="4" name="Chart 3">
          <a:extLst>
            <a:ext uri="{FF2B5EF4-FFF2-40B4-BE49-F238E27FC236}">
              <a16:creationId xmlns:a16="http://schemas.microsoft.com/office/drawing/2014/main" id="{38CB53BD-8395-4681-AC65-F441255ED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7620</xdr:colOff>
      <xdr:row>5</xdr:row>
      <xdr:rowOff>1</xdr:rowOff>
    </xdr:from>
    <xdr:to>
      <xdr:col>13</xdr:col>
      <xdr:colOff>335280</xdr:colOff>
      <xdr:row>9</xdr:row>
      <xdr:rowOff>167640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25DF82F-16E9-0A3A-81F3-BB1347C8C59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713220" y="914401"/>
              <a:ext cx="1546860" cy="899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9</xdr:row>
      <xdr:rowOff>175261</xdr:rowOff>
    </xdr:from>
    <xdr:to>
      <xdr:col>13</xdr:col>
      <xdr:colOff>342900</xdr:colOff>
      <xdr:row>19</xdr:row>
      <xdr:rowOff>91441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CB6AF3A-5E00-A893-52C8-B28D94DCC2F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720840" y="1821181"/>
              <a:ext cx="154686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19</xdr:row>
      <xdr:rowOff>99061</xdr:rowOff>
    </xdr:from>
    <xdr:to>
      <xdr:col>13</xdr:col>
      <xdr:colOff>350520</xdr:colOff>
      <xdr:row>26</xdr:row>
      <xdr:rowOff>121921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BF747F6-3EDB-E876-1BB9-9473E96FCB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28460" y="3573781"/>
              <a:ext cx="15468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UNAKARAN" refreshedDate="46227.479715162037" createdVersion="8" refreshedVersion="8" minRefreshableVersion="3" recordCount="1000" xr:uid="{AFF022BB-3B3B-4A3C-9593-C4E8336534D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updated"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872329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607658-16A3-4762-9BBB-8B109A08736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8:D42"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m="1" x="3"/>
        <item x="2"/>
        <item x="0"/>
        <item x="1"/>
        <item t="default"/>
      </items>
    </pivotField>
    <pivotField axis="axisCol" dataField="1"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ED295-C760-4250-A428-3BE1C34FF4E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9" baseItem="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84C3D-9FF9-443C-8729-09A29273F7ED}"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4">
    <format dxfId="75">
      <pivotArea collapsedLevelsAreSubtotals="1" fieldPosition="0">
        <references count="2">
          <reference field="2" count="1">
            <x v="0"/>
          </reference>
          <reference field="13" count="1" selected="0">
            <x v="0"/>
          </reference>
        </references>
      </pivotArea>
    </format>
    <format dxfId="74">
      <pivotArea collapsedLevelsAreSubtotals="1" fieldPosition="0">
        <references count="2">
          <reference field="2" count="1">
            <x v="0"/>
          </reference>
          <reference field="13" count="1" selected="0">
            <x v="1"/>
          </reference>
        </references>
      </pivotArea>
    </format>
    <format dxfId="73">
      <pivotArea collapsedLevelsAreSubtotals="1" fieldPosition="0">
        <references count="2">
          <reference field="2" count="1">
            <x v="1"/>
          </reference>
          <reference field="13" count="1" selected="0">
            <x v="0"/>
          </reference>
        </references>
      </pivotArea>
    </format>
    <format dxfId="7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CFF3A17-D77A-4E7E-AECD-9A1A9EFC279B}" sourceName="Marital Status">
  <pivotTables>
    <pivotTable tabId="3" name="PivotTable1"/>
    <pivotTable tabId="3" name="PivotTable2"/>
    <pivotTable tabId="3" name="PivotTable3"/>
  </pivotTables>
  <data>
    <tabular pivotCacheId="187232901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FD1891D-B0FF-4ED2-80DD-D82A5C5810FB}" sourceName="Education">
  <pivotTables>
    <pivotTable tabId="3" name="PivotTable1"/>
    <pivotTable tabId="3" name="PivotTable2"/>
    <pivotTable tabId="3" name="PivotTable3"/>
  </pivotTables>
  <data>
    <tabular pivotCacheId="1872329010">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7DF3B7-E811-4EC4-B224-2101C337C1B1}" sourceName="Region">
  <pivotTables>
    <pivotTable tabId="3" name="PivotTable1"/>
    <pivotTable tabId="3" name="PivotTable2"/>
    <pivotTable tabId="3" name="PivotTable3"/>
  </pivotTables>
  <data>
    <tabular pivotCacheId="187232901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8FC2BC1-E8EF-442F-99D0-E188058E2953}" cache="Slicer_Marital_Status" caption="Marital Status" rowHeight="234950"/>
  <slicer name="Education" xr10:uid="{97BCBA4F-FEF1-4F0B-A50D-B216BB9A9E9B}" cache="Slicer_Education" caption="Education" rowHeight="234950"/>
  <slicer name="Region" xr10:uid="{EE2E4BC8-E386-498A-9D62-6342C0C4F6B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952" workbookViewId="0">
      <selection activeCell="N1018" sqref="N101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8F85A-3DBD-4EFD-BDC0-CA8A1F7698A0}">
  <dimension ref="A1:N1001"/>
  <sheetViews>
    <sheetView topLeftCell="K1" workbookViewId="0">
      <selection activeCell="M2" sqref="M2:M1001"/>
    </sheetView>
  </sheetViews>
  <sheetFormatPr defaultRowHeight="14.4" x14ac:dyDescent="0.3"/>
  <cols>
    <col min="2" max="2" width="14.109375" customWidth="1"/>
    <col min="3" max="3" width="10.44140625" customWidth="1"/>
    <col min="4" max="4" width="12" customWidth="1"/>
    <col min="5" max="5" width="13.6640625" customWidth="1"/>
    <col min="6" max="6" width="20.21875" customWidth="1"/>
    <col min="7" max="7" width="15.33203125" customWidth="1"/>
    <col min="8" max="8" width="15.44140625" customWidth="1"/>
    <col min="10" max="10" width="18.77734375" bestFit="1" customWidth="1"/>
    <col min="12" max="13" width="15.8867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39</v>
      </c>
      <c r="N1" t="s">
        <v>12</v>
      </c>
    </row>
    <row r="2" spans="1:14" x14ac:dyDescent="0.3">
      <c r="A2">
        <v>12496</v>
      </c>
      <c r="B2" t="s">
        <v>36</v>
      </c>
      <c r="C2" t="s">
        <v>40</v>
      </c>
      <c r="D2" s="3">
        <v>40000</v>
      </c>
      <c r="E2">
        <v>1</v>
      </c>
      <c r="F2" t="s">
        <v>13</v>
      </c>
      <c r="G2" t="s">
        <v>14</v>
      </c>
      <c r="H2" t="s">
        <v>15</v>
      </c>
      <c r="I2">
        <v>0</v>
      </c>
      <c r="J2" t="s">
        <v>16</v>
      </c>
      <c r="K2" t="s">
        <v>17</v>
      </c>
      <c r="L2">
        <v>42</v>
      </c>
      <c r="M2" t="str">
        <f>IF(L2&gt;54,"Old",IF( L2 &gt;=31,"Middle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 L3 &gt;=31,"Middle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40</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40</v>
      </c>
      <c r="D13" s="3">
        <v>90000</v>
      </c>
      <c r="E13">
        <v>0</v>
      </c>
      <c r="F13" t="s">
        <v>13</v>
      </c>
      <c r="G13" t="s">
        <v>21</v>
      </c>
      <c r="H13" t="s">
        <v>18</v>
      </c>
      <c r="I13">
        <v>4</v>
      </c>
      <c r="J13" t="s">
        <v>45</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40</v>
      </c>
      <c r="D23" s="3">
        <v>80000</v>
      </c>
      <c r="E23">
        <v>0</v>
      </c>
      <c r="F23" t="s">
        <v>13</v>
      </c>
      <c r="G23" t="s">
        <v>21</v>
      </c>
      <c r="H23" t="s">
        <v>15</v>
      </c>
      <c r="I23">
        <v>4</v>
      </c>
      <c r="J23" t="s">
        <v>45</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40</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40</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45</v>
      </c>
      <c r="K53" t="s">
        <v>24</v>
      </c>
      <c r="L53">
        <v>35</v>
      </c>
      <c r="M53" t="str">
        <f t="shared" si="0"/>
        <v>Middle Age</v>
      </c>
      <c r="N53" t="s">
        <v>18</v>
      </c>
    </row>
    <row r="54" spans="1:14" x14ac:dyDescent="0.3">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45</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45</v>
      </c>
      <c r="K65" t="s">
        <v>24</v>
      </c>
      <c r="L65">
        <v>41</v>
      </c>
      <c r="M65" t="str">
        <f t="shared" si="0"/>
        <v>Middle Age</v>
      </c>
      <c r="N65" t="s">
        <v>18</v>
      </c>
    </row>
    <row r="66" spans="1:14" x14ac:dyDescent="0.3">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 L67 &gt;=31,"Middle Age",IF(L67&lt;31,"Adolescent","invalid")))</f>
        <v>Old</v>
      </c>
      <c r="N67" t="s">
        <v>18</v>
      </c>
    </row>
    <row r="68" spans="1:14" x14ac:dyDescent="0.3">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45</v>
      </c>
      <c r="K72" t="s">
        <v>24</v>
      </c>
      <c r="L72">
        <v>36</v>
      </c>
      <c r="M72" t="str">
        <f t="shared" si="1"/>
        <v>Middle Age</v>
      </c>
      <c r="N72" t="s">
        <v>15</v>
      </c>
    </row>
    <row r="73" spans="1:14" x14ac:dyDescent="0.3">
      <c r="A73">
        <v>16200</v>
      </c>
      <c r="B73" t="s">
        <v>37</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40</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45</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40</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40</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40</v>
      </c>
      <c r="D97" s="3">
        <v>90000</v>
      </c>
      <c r="E97">
        <v>5</v>
      </c>
      <c r="F97" t="s">
        <v>19</v>
      </c>
      <c r="G97" t="s">
        <v>21</v>
      </c>
      <c r="H97" t="s">
        <v>15</v>
      </c>
      <c r="I97">
        <v>2</v>
      </c>
      <c r="J97" t="s">
        <v>45</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40</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40</v>
      </c>
      <c r="D124" s="3">
        <v>80000</v>
      </c>
      <c r="E124">
        <v>0</v>
      </c>
      <c r="F124" t="s">
        <v>13</v>
      </c>
      <c r="G124" t="s">
        <v>21</v>
      </c>
      <c r="H124" t="s">
        <v>18</v>
      </c>
      <c r="I124">
        <v>3</v>
      </c>
      <c r="J124" t="s">
        <v>45</v>
      </c>
      <c r="K124" t="s">
        <v>24</v>
      </c>
      <c r="L124">
        <v>31</v>
      </c>
      <c r="M124" t="str">
        <f t="shared" si="1"/>
        <v>Middle Age</v>
      </c>
      <c r="N124" t="s">
        <v>18</v>
      </c>
    </row>
    <row r="125" spans="1:14" x14ac:dyDescent="0.3">
      <c r="A125">
        <v>23627</v>
      </c>
      <c r="B125" t="s">
        <v>37</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 L131 &gt;=31,"Middle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40</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3">
        <v>80000</v>
      </c>
      <c r="E145">
        <v>0</v>
      </c>
      <c r="F145" t="s">
        <v>13</v>
      </c>
      <c r="G145" t="s">
        <v>21</v>
      </c>
      <c r="H145" t="s">
        <v>15</v>
      </c>
      <c r="I145">
        <v>3</v>
      </c>
      <c r="J145" t="s">
        <v>45</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45</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40</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45</v>
      </c>
      <c r="K180" t="s">
        <v>17</v>
      </c>
      <c r="L180">
        <v>55</v>
      </c>
      <c r="M180" t="str">
        <f t="shared" si="2"/>
        <v>Old</v>
      </c>
      <c r="N180" t="s">
        <v>15</v>
      </c>
    </row>
    <row r="181" spans="1:14" x14ac:dyDescent="0.3">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3">
        <v>130000</v>
      </c>
      <c r="E186">
        <v>4</v>
      </c>
      <c r="F186" t="s">
        <v>27</v>
      </c>
      <c r="G186" t="s">
        <v>28</v>
      </c>
      <c r="H186" t="s">
        <v>18</v>
      </c>
      <c r="I186">
        <v>4</v>
      </c>
      <c r="J186" t="s">
        <v>45</v>
      </c>
      <c r="K186" t="s">
        <v>17</v>
      </c>
      <c r="L186">
        <v>58</v>
      </c>
      <c r="M186" t="str">
        <f t="shared" si="2"/>
        <v>Old</v>
      </c>
      <c r="N186" t="s">
        <v>18</v>
      </c>
    </row>
    <row r="187" spans="1:14" x14ac:dyDescent="0.3">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45</v>
      </c>
      <c r="K189" t="s">
        <v>17</v>
      </c>
      <c r="L189">
        <v>59</v>
      </c>
      <c r="M189" t="str">
        <f t="shared" si="2"/>
        <v>Old</v>
      </c>
      <c r="N189" t="s">
        <v>18</v>
      </c>
    </row>
    <row r="190" spans="1:14" x14ac:dyDescent="0.3">
      <c r="A190">
        <v>20606</v>
      </c>
      <c r="B190" t="s">
        <v>36</v>
      </c>
      <c r="C190" t="s">
        <v>40</v>
      </c>
      <c r="D190" s="3">
        <v>70000</v>
      </c>
      <c r="E190">
        <v>0</v>
      </c>
      <c r="F190" t="s">
        <v>13</v>
      </c>
      <c r="G190" t="s">
        <v>21</v>
      </c>
      <c r="H190" t="s">
        <v>15</v>
      </c>
      <c r="I190">
        <v>4</v>
      </c>
      <c r="J190" t="s">
        <v>45</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40</v>
      </c>
      <c r="D194" s="3">
        <v>80000</v>
      </c>
      <c r="E194">
        <v>5</v>
      </c>
      <c r="F194" t="s">
        <v>13</v>
      </c>
      <c r="G194" t="s">
        <v>28</v>
      </c>
      <c r="H194" t="s">
        <v>15</v>
      </c>
      <c r="I194">
        <v>2</v>
      </c>
      <c r="J194" t="s">
        <v>45</v>
      </c>
      <c r="K194" t="s">
        <v>17</v>
      </c>
      <c r="L194">
        <v>62</v>
      </c>
      <c r="M194" t="str">
        <f t="shared" si="2"/>
        <v>Old</v>
      </c>
      <c r="N194" t="s">
        <v>18</v>
      </c>
    </row>
    <row r="195" spans="1:14" x14ac:dyDescent="0.3">
      <c r="A195">
        <v>26032</v>
      </c>
      <c r="B195" t="s">
        <v>36</v>
      </c>
      <c r="C195" t="s">
        <v>40</v>
      </c>
      <c r="D195" s="3">
        <v>70000</v>
      </c>
      <c r="E195">
        <v>5</v>
      </c>
      <c r="F195" t="s">
        <v>13</v>
      </c>
      <c r="G195" t="s">
        <v>21</v>
      </c>
      <c r="H195" t="s">
        <v>15</v>
      </c>
      <c r="I195">
        <v>4</v>
      </c>
      <c r="J195" t="s">
        <v>45</v>
      </c>
      <c r="K195" t="s">
        <v>24</v>
      </c>
      <c r="L195">
        <v>41</v>
      </c>
      <c r="M195" t="str">
        <f t="shared" ref="M195:M258" si="3">IF(L195&gt;54,"Old",IF( L195 &gt;=31,"Middle Age",IF(L195&lt;31,"Adolescent","invalid")))</f>
        <v>Middle Age</v>
      </c>
      <c r="N195" t="s">
        <v>18</v>
      </c>
    </row>
    <row r="196" spans="1:14" x14ac:dyDescent="0.3">
      <c r="A196">
        <v>17843</v>
      </c>
      <c r="B196" t="s">
        <v>37</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45</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45</v>
      </c>
      <c r="K208" t="s">
        <v>17</v>
      </c>
      <c r="L208">
        <v>62</v>
      </c>
      <c r="M208" t="str">
        <f t="shared" si="3"/>
        <v>Old</v>
      </c>
      <c r="N208" t="s">
        <v>18</v>
      </c>
    </row>
    <row r="209" spans="1:14" x14ac:dyDescent="0.3">
      <c r="A209">
        <v>28729</v>
      </c>
      <c r="B209" t="s">
        <v>37</v>
      </c>
      <c r="C209" t="s">
        <v>40</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40</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45</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40</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40</v>
      </c>
      <c r="D225" s="3">
        <v>70000</v>
      </c>
      <c r="E225">
        <v>5</v>
      </c>
      <c r="F225" t="s">
        <v>13</v>
      </c>
      <c r="G225" t="s">
        <v>21</v>
      </c>
      <c r="H225" t="s">
        <v>15</v>
      </c>
      <c r="I225">
        <v>4</v>
      </c>
      <c r="J225" t="s">
        <v>45</v>
      </c>
      <c r="K225" t="s">
        <v>24</v>
      </c>
      <c r="L225">
        <v>39</v>
      </c>
      <c r="M225" t="str">
        <f t="shared" si="3"/>
        <v>Middle Age</v>
      </c>
      <c r="N225" t="s">
        <v>18</v>
      </c>
    </row>
    <row r="226" spans="1:14" x14ac:dyDescent="0.3">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45</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45</v>
      </c>
      <c r="K232" t="s">
        <v>17</v>
      </c>
      <c r="L232">
        <v>56</v>
      </c>
      <c r="M232" t="str">
        <f t="shared" si="3"/>
        <v>Old</v>
      </c>
      <c r="N232" t="s">
        <v>18</v>
      </c>
    </row>
    <row r="233" spans="1:14" x14ac:dyDescent="0.3">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45</v>
      </c>
      <c r="K236" t="s">
        <v>24</v>
      </c>
      <c r="L236">
        <v>35</v>
      </c>
      <c r="M236" t="str">
        <f t="shared" si="3"/>
        <v>Middle Age</v>
      </c>
      <c r="N236" t="s">
        <v>15</v>
      </c>
    </row>
    <row r="237" spans="1:14" x14ac:dyDescent="0.3">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40</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40</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3">
        <v>120000</v>
      </c>
      <c r="E246">
        <v>3</v>
      </c>
      <c r="F246" t="s">
        <v>13</v>
      </c>
      <c r="G246" t="s">
        <v>28</v>
      </c>
      <c r="H246" t="s">
        <v>18</v>
      </c>
      <c r="I246">
        <v>2</v>
      </c>
      <c r="J246" t="s">
        <v>45</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3">
        <v>100000</v>
      </c>
      <c r="E249">
        <v>0</v>
      </c>
      <c r="F249" t="s">
        <v>27</v>
      </c>
      <c r="G249" t="s">
        <v>28</v>
      </c>
      <c r="H249" t="s">
        <v>15</v>
      </c>
      <c r="I249">
        <v>4</v>
      </c>
      <c r="J249" t="s">
        <v>45</v>
      </c>
      <c r="K249" t="s">
        <v>24</v>
      </c>
      <c r="L249">
        <v>34</v>
      </c>
      <c r="M249" t="str">
        <f t="shared" si="3"/>
        <v>Middle Age</v>
      </c>
      <c r="N249" t="s">
        <v>15</v>
      </c>
    </row>
    <row r="250" spans="1:14" x14ac:dyDescent="0.3">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45</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40</v>
      </c>
      <c r="D259" s="3">
        <v>50000</v>
      </c>
      <c r="E259">
        <v>0</v>
      </c>
      <c r="F259" t="s">
        <v>31</v>
      </c>
      <c r="G259" t="s">
        <v>14</v>
      </c>
      <c r="H259" t="s">
        <v>15</v>
      </c>
      <c r="I259">
        <v>0</v>
      </c>
      <c r="J259" t="s">
        <v>16</v>
      </c>
      <c r="K259" t="s">
        <v>17</v>
      </c>
      <c r="L259">
        <v>36</v>
      </c>
      <c r="M259" t="str">
        <f t="shared" ref="M259:M322" si="4">IF(L259&gt;54,"Old",IF( L259 &gt;=31,"Middle Age",IF(L259&lt;31,"Adolescent","invalid")))</f>
        <v>Middle Age</v>
      </c>
      <c r="N259" t="s">
        <v>15</v>
      </c>
    </row>
    <row r="260" spans="1:14" x14ac:dyDescent="0.3">
      <c r="A260">
        <v>14193</v>
      </c>
      <c r="B260" t="s">
        <v>37</v>
      </c>
      <c r="C260" t="s">
        <v>40</v>
      </c>
      <c r="D260" s="3">
        <v>100000</v>
      </c>
      <c r="E260">
        <v>3</v>
      </c>
      <c r="F260" t="s">
        <v>19</v>
      </c>
      <c r="G260" t="s">
        <v>28</v>
      </c>
      <c r="H260" t="s">
        <v>15</v>
      </c>
      <c r="I260">
        <v>4</v>
      </c>
      <c r="J260" t="s">
        <v>45</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40</v>
      </c>
      <c r="D265" s="3">
        <v>70000</v>
      </c>
      <c r="E265">
        <v>5</v>
      </c>
      <c r="F265" t="s">
        <v>13</v>
      </c>
      <c r="G265" t="s">
        <v>21</v>
      </c>
      <c r="H265" t="s">
        <v>15</v>
      </c>
      <c r="I265">
        <v>3</v>
      </c>
      <c r="J265" t="s">
        <v>45</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40</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40</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40</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45</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40</v>
      </c>
      <c r="D297" s="3">
        <v>110000</v>
      </c>
      <c r="E297">
        <v>0</v>
      </c>
      <c r="F297" t="s">
        <v>19</v>
      </c>
      <c r="G297" t="s">
        <v>28</v>
      </c>
      <c r="H297" t="s">
        <v>15</v>
      </c>
      <c r="I297">
        <v>3</v>
      </c>
      <c r="J297" t="s">
        <v>45</v>
      </c>
      <c r="K297" t="s">
        <v>24</v>
      </c>
      <c r="L297">
        <v>32</v>
      </c>
      <c r="M297" t="str">
        <f t="shared" si="4"/>
        <v>Middle Age</v>
      </c>
      <c r="N297" t="s">
        <v>15</v>
      </c>
    </row>
    <row r="298" spans="1:14" x14ac:dyDescent="0.3">
      <c r="A298">
        <v>26663</v>
      </c>
      <c r="B298" t="s">
        <v>37</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45</v>
      </c>
      <c r="K320" t="s">
        <v>17</v>
      </c>
      <c r="L320">
        <v>54</v>
      </c>
      <c r="M320" t="str">
        <f t="shared" si="4"/>
        <v>Middle Age</v>
      </c>
      <c r="N320" t="s">
        <v>18</v>
      </c>
    </row>
    <row r="321" spans="1:14" x14ac:dyDescent="0.3">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40</v>
      </c>
      <c r="D323" s="3">
        <v>160000</v>
      </c>
      <c r="E323">
        <v>0</v>
      </c>
      <c r="F323" t="s">
        <v>31</v>
      </c>
      <c r="G323" t="s">
        <v>28</v>
      </c>
      <c r="H323" t="s">
        <v>18</v>
      </c>
      <c r="I323">
        <v>3</v>
      </c>
      <c r="J323" t="s">
        <v>16</v>
      </c>
      <c r="K323" t="s">
        <v>24</v>
      </c>
      <c r="L323">
        <v>47</v>
      </c>
      <c r="M323" t="str">
        <f t="shared" ref="M323:M386" si="5">IF(L323&gt;54,"Old",IF( L323 &gt;=31,"Middle Age",IF(L323&lt;31,"Adolescent","invalid")))</f>
        <v>Middle Age</v>
      </c>
      <c r="N323" t="s">
        <v>15</v>
      </c>
    </row>
    <row r="324" spans="1:14" x14ac:dyDescent="0.3">
      <c r="A324">
        <v>16410</v>
      </c>
      <c r="B324" t="s">
        <v>37</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3">
        <v>90000</v>
      </c>
      <c r="E331">
        <v>5</v>
      </c>
      <c r="F331" t="s">
        <v>29</v>
      </c>
      <c r="G331" t="s">
        <v>14</v>
      </c>
      <c r="H331" t="s">
        <v>15</v>
      </c>
      <c r="I331">
        <v>2</v>
      </c>
      <c r="J331" t="s">
        <v>45</v>
      </c>
      <c r="K331" t="s">
        <v>17</v>
      </c>
      <c r="L331">
        <v>59</v>
      </c>
      <c r="M331" t="str">
        <f t="shared" si="5"/>
        <v>Old</v>
      </c>
      <c r="N331" t="s">
        <v>18</v>
      </c>
    </row>
    <row r="332" spans="1:14" x14ac:dyDescent="0.3">
      <c r="A332">
        <v>24898</v>
      </c>
      <c r="B332" t="s">
        <v>37</v>
      </c>
      <c r="C332" t="s">
        <v>40</v>
      </c>
      <c r="D332" s="3">
        <v>80000</v>
      </c>
      <c r="E332">
        <v>0</v>
      </c>
      <c r="F332" t="s">
        <v>13</v>
      </c>
      <c r="G332" t="s">
        <v>21</v>
      </c>
      <c r="H332" t="s">
        <v>15</v>
      </c>
      <c r="I332">
        <v>3</v>
      </c>
      <c r="J332" t="s">
        <v>45</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40</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45</v>
      </c>
      <c r="K357" t="s">
        <v>24</v>
      </c>
      <c r="L357">
        <v>32</v>
      </c>
      <c r="M357" t="str">
        <f t="shared" si="5"/>
        <v>Middle Age</v>
      </c>
      <c r="N357" t="s">
        <v>18</v>
      </c>
    </row>
    <row r="358" spans="1:14" x14ac:dyDescent="0.3">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45</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40</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3">
        <v>100000</v>
      </c>
      <c r="E372">
        <v>4</v>
      </c>
      <c r="F372" t="s">
        <v>13</v>
      </c>
      <c r="G372" t="s">
        <v>21</v>
      </c>
      <c r="H372" t="s">
        <v>15</v>
      </c>
      <c r="I372">
        <v>1</v>
      </c>
      <c r="J372" t="s">
        <v>45</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45</v>
      </c>
      <c r="K382" t="s">
        <v>24</v>
      </c>
      <c r="L382">
        <v>30</v>
      </c>
      <c r="M382" t="str">
        <f t="shared" si="5"/>
        <v>Adolescent</v>
      </c>
      <c r="N382" t="s">
        <v>15</v>
      </c>
    </row>
    <row r="383" spans="1:14" x14ac:dyDescent="0.3">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45</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40</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 L387 &gt;=31,"Middle Age",IF(L387&lt;31,"Adolescent","invalid")))</f>
        <v>Middle Age</v>
      </c>
      <c r="N387" t="s">
        <v>18</v>
      </c>
    </row>
    <row r="388" spans="1:14" x14ac:dyDescent="0.3">
      <c r="A388">
        <v>28957</v>
      </c>
      <c r="B388" t="s">
        <v>37</v>
      </c>
      <c r="C388" t="s">
        <v>40</v>
      </c>
      <c r="D388" s="3">
        <v>120000</v>
      </c>
      <c r="E388">
        <v>0</v>
      </c>
      <c r="F388" t="s">
        <v>29</v>
      </c>
      <c r="G388" t="s">
        <v>21</v>
      </c>
      <c r="H388" t="s">
        <v>15</v>
      </c>
      <c r="I388">
        <v>4</v>
      </c>
      <c r="J388" t="s">
        <v>45</v>
      </c>
      <c r="K388" t="s">
        <v>24</v>
      </c>
      <c r="L388">
        <v>34</v>
      </c>
      <c r="M388" t="str">
        <f t="shared" si="6"/>
        <v>Middle Age</v>
      </c>
      <c r="N388" t="s">
        <v>15</v>
      </c>
    </row>
    <row r="389" spans="1:14" x14ac:dyDescent="0.3">
      <c r="A389">
        <v>13690</v>
      </c>
      <c r="B389" t="s">
        <v>37</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40</v>
      </c>
      <c r="D402" s="3">
        <v>110000</v>
      </c>
      <c r="E402">
        <v>3</v>
      </c>
      <c r="F402" t="s">
        <v>13</v>
      </c>
      <c r="G402" t="s">
        <v>28</v>
      </c>
      <c r="H402" t="s">
        <v>15</v>
      </c>
      <c r="I402">
        <v>4</v>
      </c>
      <c r="J402" t="s">
        <v>45</v>
      </c>
      <c r="K402" t="s">
        <v>17</v>
      </c>
      <c r="L402">
        <v>53</v>
      </c>
      <c r="M402" t="str">
        <f t="shared" si="6"/>
        <v>Middle Age</v>
      </c>
      <c r="N402" t="s">
        <v>18</v>
      </c>
    </row>
    <row r="403" spans="1:14" x14ac:dyDescent="0.3">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3">
        <v>100000</v>
      </c>
      <c r="E422">
        <v>2</v>
      </c>
      <c r="F422" t="s">
        <v>13</v>
      </c>
      <c r="G422" t="s">
        <v>28</v>
      </c>
      <c r="H422" t="s">
        <v>15</v>
      </c>
      <c r="I422">
        <v>4</v>
      </c>
      <c r="J422" t="s">
        <v>45</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45</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40</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3">
        <v>110000</v>
      </c>
      <c r="E434">
        <v>0</v>
      </c>
      <c r="F434" t="s">
        <v>27</v>
      </c>
      <c r="G434" t="s">
        <v>28</v>
      </c>
      <c r="H434" t="s">
        <v>15</v>
      </c>
      <c r="I434">
        <v>3</v>
      </c>
      <c r="J434" t="s">
        <v>45</v>
      </c>
      <c r="K434" t="s">
        <v>24</v>
      </c>
      <c r="L434">
        <v>34</v>
      </c>
      <c r="M434" t="str">
        <f t="shared" si="6"/>
        <v>Middle Age</v>
      </c>
      <c r="N434" t="s">
        <v>15</v>
      </c>
    </row>
    <row r="435" spans="1:14" x14ac:dyDescent="0.3">
      <c r="A435">
        <v>27814</v>
      </c>
      <c r="B435" t="s">
        <v>37</v>
      </c>
      <c r="C435" t="s">
        <v>40</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40</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45</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3">
        <v>130000</v>
      </c>
      <c r="E448">
        <v>0</v>
      </c>
      <c r="F448" t="s">
        <v>31</v>
      </c>
      <c r="G448" t="s">
        <v>28</v>
      </c>
      <c r="H448" t="s">
        <v>15</v>
      </c>
      <c r="I448">
        <v>1</v>
      </c>
      <c r="J448" t="s">
        <v>45</v>
      </c>
      <c r="K448" t="s">
        <v>24</v>
      </c>
      <c r="L448">
        <v>48</v>
      </c>
      <c r="M448" t="str">
        <f t="shared" si="6"/>
        <v>Middle Age</v>
      </c>
      <c r="N448" t="s">
        <v>18</v>
      </c>
    </row>
    <row r="449" spans="1:14" x14ac:dyDescent="0.3">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3">
        <v>40000</v>
      </c>
      <c r="E451">
        <v>1</v>
      </c>
      <c r="F451" t="s">
        <v>13</v>
      </c>
      <c r="G451" t="s">
        <v>14</v>
      </c>
      <c r="H451" t="s">
        <v>15</v>
      </c>
      <c r="I451">
        <v>0</v>
      </c>
      <c r="J451" t="s">
        <v>16</v>
      </c>
      <c r="K451" t="s">
        <v>17</v>
      </c>
      <c r="L451">
        <v>42</v>
      </c>
      <c r="M451" t="str">
        <f t="shared" ref="M451:M514" si="7">IF(L451&gt;54,"Old",IF( L451 &gt;=31,"Middle Age",IF(L451&lt;31,"Adolescent","invalid")))</f>
        <v>Middle Age</v>
      </c>
      <c r="N451" t="s">
        <v>18</v>
      </c>
    </row>
    <row r="452" spans="1:14" x14ac:dyDescent="0.3">
      <c r="A452">
        <v>16559</v>
      </c>
      <c r="B452" t="s">
        <v>37</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45</v>
      </c>
      <c r="K460" t="s">
        <v>24</v>
      </c>
      <c r="L460">
        <v>32</v>
      </c>
      <c r="M460" t="str">
        <f t="shared" si="7"/>
        <v>Middle Age</v>
      </c>
      <c r="N460" t="s">
        <v>15</v>
      </c>
    </row>
    <row r="461" spans="1:14" x14ac:dyDescent="0.3">
      <c r="A461">
        <v>21554</v>
      </c>
      <c r="B461" t="s">
        <v>37</v>
      </c>
      <c r="C461" t="s">
        <v>40</v>
      </c>
      <c r="D461" s="3">
        <v>80000</v>
      </c>
      <c r="E461">
        <v>0</v>
      </c>
      <c r="F461" t="s">
        <v>13</v>
      </c>
      <c r="G461" t="s">
        <v>21</v>
      </c>
      <c r="H461" t="s">
        <v>18</v>
      </c>
      <c r="I461">
        <v>3</v>
      </c>
      <c r="J461" t="s">
        <v>45</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3">
        <v>90000</v>
      </c>
      <c r="E488">
        <v>4</v>
      </c>
      <c r="F488" t="s">
        <v>29</v>
      </c>
      <c r="G488" t="s">
        <v>14</v>
      </c>
      <c r="H488" t="s">
        <v>15</v>
      </c>
      <c r="I488">
        <v>4</v>
      </c>
      <c r="J488" t="s">
        <v>45</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45</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45</v>
      </c>
      <c r="K497" t="s">
        <v>32</v>
      </c>
      <c r="L497">
        <v>56</v>
      </c>
      <c r="M497" t="str">
        <f t="shared" si="7"/>
        <v>Old</v>
      </c>
      <c r="N497" t="s">
        <v>18</v>
      </c>
    </row>
    <row r="498" spans="1:14" x14ac:dyDescent="0.3">
      <c r="A498">
        <v>20678</v>
      </c>
      <c r="B498" t="s">
        <v>37</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40</v>
      </c>
      <c r="D515" s="3">
        <v>60000</v>
      </c>
      <c r="E515">
        <v>4</v>
      </c>
      <c r="F515" t="s">
        <v>31</v>
      </c>
      <c r="G515" t="s">
        <v>28</v>
      </c>
      <c r="H515" t="s">
        <v>15</v>
      </c>
      <c r="I515">
        <v>2</v>
      </c>
      <c r="J515" t="s">
        <v>45</v>
      </c>
      <c r="K515" t="s">
        <v>32</v>
      </c>
      <c r="L515">
        <v>61</v>
      </c>
      <c r="M515" t="str">
        <f t="shared" ref="M515:M578" si="8">IF(L515&gt;54,"Old",IF( L515 &gt;=31,"Middle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45</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45</v>
      </c>
      <c r="K527" t="s">
        <v>32</v>
      </c>
      <c r="L527">
        <v>59</v>
      </c>
      <c r="M527" t="str">
        <f t="shared" si="8"/>
        <v>Old</v>
      </c>
      <c r="N527" t="s">
        <v>15</v>
      </c>
    </row>
    <row r="528" spans="1:14" x14ac:dyDescent="0.3">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40</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45</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45</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45</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45</v>
      </c>
      <c r="K537" t="s">
        <v>32</v>
      </c>
      <c r="L537">
        <v>41</v>
      </c>
      <c r="M537" t="str">
        <f t="shared" si="8"/>
        <v>Middle Age</v>
      </c>
      <c r="N537" t="s">
        <v>18</v>
      </c>
    </row>
    <row r="538" spans="1:14" x14ac:dyDescent="0.3">
      <c r="A538">
        <v>13907</v>
      </c>
      <c r="B538" t="s">
        <v>37</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3">
        <v>50000</v>
      </c>
      <c r="E553">
        <v>4</v>
      </c>
      <c r="F553" t="s">
        <v>13</v>
      </c>
      <c r="G553" t="s">
        <v>28</v>
      </c>
      <c r="H553" t="s">
        <v>15</v>
      </c>
      <c r="I553">
        <v>2</v>
      </c>
      <c r="J553" t="s">
        <v>45</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45</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40</v>
      </c>
      <c r="D561" s="3">
        <v>60000</v>
      </c>
      <c r="E561">
        <v>2</v>
      </c>
      <c r="F561" t="s">
        <v>13</v>
      </c>
      <c r="G561" t="s">
        <v>28</v>
      </c>
      <c r="H561" t="s">
        <v>15</v>
      </c>
      <c r="I561">
        <v>0</v>
      </c>
      <c r="J561" t="s">
        <v>45</v>
      </c>
      <c r="K561" t="s">
        <v>32</v>
      </c>
      <c r="L561">
        <v>58</v>
      </c>
      <c r="M561" t="str">
        <f t="shared" si="8"/>
        <v>Old</v>
      </c>
      <c r="N561" t="s">
        <v>18</v>
      </c>
    </row>
    <row r="562" spans="1:14" x14ac:dyDescent="0.3">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40</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45</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45</v>
      </c>
      <c r="K577" t="s">
        <v>32</v>
      </c>
      <c r="L577">
        <v>56</v>
      </c>
      <c r="M577" t="str">
        <f t="shared" si="8"/>
        <v>Old</v>
      </c>
      <c r="N577" t="s">
        <v>18</v>
      </c>
    </row>
    <row r="578" spans="1:14" x14ac:dyDescent="0.3">
      <c r="A578">
        <v>18752</v>
      </c>
      <c r="B578" t="s">
        <v>37</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 L579 &gt;=31,"Middle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3">
        <v>60000</v>
      </c>
      <c r="E582">
        <v>3</v>
      </c>
      <c r="F582" t="s">
        <v>31</v>
      </c>
      <c r="G582" t="s">
        <v>28</v>
      </c>
      <c r="H582" t="s">
        <v>15</v>
      </c>
      <c r="I582">
        <v>2</v>
      </c>
      <c r="J582" t="s">
        <v>45</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45</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3">
        <v>90000</v>
      </c>
      <c r="E590">
        <v>2</v>
      </c>
      <c r="F590" t="s">
        <v>27</v>
      </c>
      <c r="G590" t="s">
        <v>21</v>
      </c>
      <c r="H590" t="s">
        <v>15</v>
      </c>
      <c r="I590">
        <v>1</v>
      </c>
      <c r="J590" t="s">
        <v>45</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45</v>
      </c>
      <c r="K591" t="s">
        <v>32</v>
      </c>
      <c r="L591">
        <v>57</v>
      </c>
      <c r="M591" t="str">
        <f t="shared" si="9"/>
        <v>Old</v>
      </c>
      <c r="N591" t="s">
        <v>18</v>
      </c>
    </row>
    <row r="592" spans="1:14" x14ac:dyDescent="0.3">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45</v>
      </c>
      <c r="K593" t="s">
        <v>32</v>
      </c>
      <c r="L593">
        <v>61</v>
      </c>
      <c r="M593" t="str">
        <f t="shared" si="9"/>
        <v>Old</v>
      </c>
      <c r="N593" t="s">
        <v>15</v>
      </c>
    </row>
    <row r="594" spans="1:14" x14ac:dyDescent="0.3">
      <c r="A594">
        <v>18391</v>
      </c>
      <c r="B594" t="s">
        <v>37</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40</v>
      </c>
      <c r="D609" s="3">
        <v>70000</v>
      </c>
      <c r="E609">
        <v>5</v>
      </c>
      <c r="F609" t="s">
        <v>31</v>
      </c>
      <c r="G609" t="s">
        <v>21</v>
      </c>
      <c r="H609" t="s">
        <v>15</v>
      </c>
      <c r="I609">
        <v>3</v>
      </c>
      <c r="J609" t="s">
        <v>45</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40</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40</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40</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45</v>
      </c>
      <c r="K643" t="s">
        <v>32</v>
      </c>
      <c r="L643">
        <v>64</v>
      </c>
      <c r="M643" t="str">
        <f t="shared" ref="M643:M706" si="10">IF(L643&gt;54,"Old",IF( L643 &gt;=31,"Middle Age",IF(L643&lt;31,"Adolescent","invalid")))</f>
        <v>Old</v>
      </c>
      <c r="N643" t="s">
        <v>18</v>
      </c>
    </row>
    <row r="644" spans="1:14" x14ac:dyDescent="0.3">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3">
        <v>60000</v>
      </c>
      <c r="E646">
        <v>5</v>
      </c>
      <c r="F646" t="s">
        <v>13</v>
      </c>
      <c r="G646" t="s">
        <v>14</v>
      </c>
      <c r="H646" t="s">
        <v>15</v>
      </c>
      <c r="I646">
        <v>3</v>
      </c>
      <c r="J646" t="s">
        <v>45</v>
      </c>
      <c r="K646" t="s">
        <v>32</v>
      </c>
      <c r="L646">
        <v>41</v>
      </c>
      <c r="M646" t="str">
        <f t="shared" si="10"/>
        <v>Middle Age</v>
      </c>
      <c r="N646" t="s">
        <v>18</v>
      </c>
    </row>
    <row r="647" spans="1:14" x14ac:dyDescent="0.3">
      <c r="A647">
        <v>16217</v>
      </c>
      <c r="B647" t="s">
        <v>37</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40</v>
      </c>
      <c r="D652" s="3">
        <v>70000</v>
      </c>
      <c r="E652">
        <v>5</v>
      </c>
      <c r="F652" t="s">
        <v>31</v>
      </c>
      <c r="G652" t="s">
        <v>28</v>
      </c>
      <c r="H652" t="s">
        <v>15</v>
      </c>
      <c r="I652">
        <v>2</v>
      </c>
      <c r="J652" t="s">
        <v>45</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40</v>
      </c>
      <c r="D661" s="3">
        <v>60000</v>
      </c>
      <c r="E661">
        <v>4</v>
      </c>
      <c r="F661" t="s">
        <v>13</v>
      </c>
      <c r="G661" t="s">
        <v>28</v>
      </c>
      <c r="H661" t="s">
        <v>15</v>
      </c>
      <c r="I661">
        <v>2</v>
      </c>
      <c r="J661" t="s">
        <v>45</v>
      </c>
      <c r="K661" t="s">
        <v>32</v>
      </c>
      <c r="L661">
        <v>63</v>
      </c>
      <c r="M661" t="str">
        <f t="shared" si="10"/>
        <v>Old</v>
      </c>
      <c r="N661" t="s">
        <v>18</v>
      </c>
    </row>
    <row r="662" spans="1:14" x14ac:dyDescent="0.3">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3">
        <v>40000</v>
      </c>
      <c r="E669">
        <v>5</v>
      </c>
      <c r="F669" t="s">
        <v>27</v>
      </c>
      <c r="G669" t="s">
        <v>21</v>
      </c>
      <c r="H669" t="s">
        <v>18</v>
      </c>
      <c r="I669">
        <v>2</v>
      </c>
      <c r="J669" t="s">
        <v>45</v>
      </c>
      <c r="K669" t="s">
        <v>32</v>
      </c>
      <c r="L669">
        <v>61</v>
      </c>
      <c r="M669" t="str">
        <f t="shared" si="10"/>
        <v>Old</v>
      </c>
      <c r="N669" t="s">
        <v>18</v>
      </c>
    </row>
    <row r="670" spans="1:14" x14ac:dyDescent="0.3">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45</v>
      </c>
      <c r="K672" t="s">
        <v>32</v>
      </c>
      <c r="L672">
        <v>59</v>
      </c>
      <c r="M672" t="str">
        <f t="shared" si="10"/>
        <v>Old</v>
      </c>
      <c r="N672" t="s">
        <v>18</v>
      </c>
    </row>
    <row r="673" spans="1:14" x14ac:dyDescent="0.3">
      <c r="A673">
        <v>22252</v>
      </c>
      <c r="B673" t="s">
        <v>37</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40</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45</v>
      </c>
      <c r="K681" t="s">
        <v>32</v>
      </c>
      <c r="L681">
        <v>60</v>
      </c>
      <c r="M681" t="str">
        <f t="shared" si="10"/>
        <v>Old</v>
      </c>
      <c r="N681" t="s">
        <v>18</v>
      </c>
    </row>
    <row r="682" spans="1:14" x14ac:dyDescent="0.3">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3">
        <v>70000</v>
      </c>
      <c r="E707">
        <v>4</v>
      </c>
      <c r="F707" t="s">
        <v>13</v>
      </c>
      <c r="G707" t="s">
        <v>28</v>
      </c>
      <c r="H707" t="s">
        <v>15</v>
      </c>
      <c r="I707">
        <v>1</v>
      </c>
      <c r="J707" t="s">
        <v>45</v>
      </c>
      <c r="K707" t="s">
        <v>32</v>
      </c>
      <c r="L707">
        <v>59</v>
      </c>
      <c r="M707" t="str">
        <f t="shared" ref="M707:M770" si="11">IF(L707&gt;54,"Old",IF( L707 &gt;=31,"Middle Age",IF(L707&lt;31,"Adolescent","invalid")))</f>
        <v>Old</v>
      </c>
      <c r="N707" t="s">
        <v>18</v>
      </c>
    </row>
    <row r="708" spans="1:14" x14ac:dyDescent="0.3">
      <c r="A708">
        <v>20296</v>
      </c>
      <c r="B708" t="s">
        <v>37</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45</v>
      </c>
      <c r="K710" t="s">
        <v>32</v>
      </c>
      <c r="L710">
        <v>60</v>
      </c>
      <c r="M710" t="str">
        <f t="shared" si="11"/>
        <v>Old</v>
      </c>
      <c r="N710" t="s">
        <v>18</v>
      </c>
    </row>
    <row r="711" spans="1:14" x14ac:dyDescent="0.3">
      <c r="A711">
        <v>23712</v>
      </c>
      <c r="B711" t="s">
        <v>37</v>
      </c>
      <c r="C711" t="s">
        <v>40</v>
      </c>
      <c r="D711" s="3">
        <v>70000</v>
      </c>
      <c r="E711">
        <v>2</v>
      </c>
      <c r="F711" t="s">
        <v>13</v>
      </c>
      <c r="G711" t="s">
        <v>28</v>
      </c>
      <c r="H711" t="s">
        <v>15</v>
      </c>
      <c r="I711">
        <v>1</v>
      </c>
      <c r="J711" t="s">
        <v>45</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3">
        <v>70000</v>
      </c>
      <c r="E713">
        <v>2</v>
      </c>
      <c r="F713" t="s">
        <v>19</v>
      </c>
      <c r="G713" t="s">
        <v>21</v>
      </c>
      <c r="H713" t="s">
        <v>15</v>
      </c>
      <c r="I713">
        <v>1</v>
      </c>
      <c r="J713" t="s">
        <v>45</v>
      </c>
      <c r="K713" t="s">
        <v>32</v>
      </c>
      <c r="L713">
        <v>58</v>
      </c>
      <c r="M713" t="str">
        <f t="shared" si="11"/>
        <v>Old</v>
      </c>
      <c r="N713" t="s">
        <v>18</v>
      </c>
    </row>
    <row r="714" spans="1:14" x14ac:dyDescent="0.3">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40</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3">
        <v>60000</v>
      </c>
      <c r="E741">
        <v>2</v>
      </c>
      <c r="F741" t="s">
        <v>19</v>
      </c>
      <c r="G741" t="s">
        <v>21</v>
      </c>
      <c r="H741" t="s">
        <v>15</v>
      </c>
      <c r="I741">
        <v>1</v>
      </c>
      <c r="J741" t="s">
        <v>45</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3">
        <v>70000</v>
      </c>
      <c r="E746">
        <v>4</v>
      </c>
      <c r="F746" t="s">
        <v>19</v>
      </c>
      <c r="G746" t="s">
        <v>21</v>
      </c>
      <c r="H746" t="s">
        <v>15</v>
      </c>
      <c r="I746">
        <v>1</v>
      </c>
      <c r="J746" t="s">
        <v>45</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3">
        <v>60000</v>
      </c>
      <c r="E748">
        <v>2</v>
      </c>
      <c r="F748" t="s">
        <v>13</v>
      </c>
      <c r="G748" t="s">
        <v>28</v>
      </c>
      <c r="H748" t="s">
        <v>15</v>
      </c>
      <c r="I748">
        <v>0</v>
      </c>
      <c r="J748" t="s">
        <v>45</v>
      </c>
      <c r="K748" t="s">
        <v>32</v>
      </c>
      <c r="L748">
        <v>56</v>
      </c>
      <c r="M748" t="str">
        <f t="shared" si="11"/>
        <v>Old</v>
      </c>
      <c r="N748" t="s">
        <v>18</v>
      </c>
    </row>
    <row r="749" spans="1:14" x14ac:dyDescent="0.3">
      <c r="A749">
        <v>12957</v>
      </c>
      <c r="B749" t="s">
        <v>37</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40</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3">
        <v>60000</v>
      </c>
      <c r="E763">
        <v>5</v>
      </c>
      <c r="F763" t="s">
        <v>13</v>
      </c>
      <c r="G763" t="s">
        <v>28</v>
      </c>
      <c r="H763" t="s">
        <v>15</v>
      </c>
      <c r="I763">
        <v>3</v>
      </c>
      <c r="J763" t="s">
        <v>45</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45</v>
      </c>
      <c r="K768" t="s">
        <v>32</v>
      </c>
      <c r="L768">
        <v>42</v>
      </c>
      <c r="M768" t="str">
        <f t="shared" si="11"/>
        <v>Middle Age</v>
      </c>
      <c r="N768" t="s">
        <v>18</v>
      </c>
    </row>
    <row r="769" spans="1:14" x14ac:dyDescent="0.3">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3">
        <v>100000</v>
      </c>
      <c r="E771">
        <v>4</v>
      </c>
      <c r="F771" t="s">
        <v>13</v>
      </c>
      <c r="G771" t="s">
        <v>28</v>
      </c>
      <c r="H771" t="s">
        <v>15</v>
      </c>
      <c r="I771">
        <v>4</v>
      </c>
      <c r="J771" t="s">
        <v>16</v>
      </c>
      <c r="K771" t="s">
        <v>32</v>
      </c>
      <c r="L771">
        <v>40</v>
      </c>
      <c r="M771" t="str">
        <f t="shared" ref="M771:M834" si="12">IF(L771&gt;54,"Old",IF( L771 &gt;=31,"Middle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45</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3">
        <v>60000</v>
      </c>
      <c r="E782">
        <v>2</v>
      </c>
      <c r="F782" t="s">
        <v>19</v>
      </c>
      <c r="G782" t="s">
        <v>21</v>
      </c>
      <c r="H782" t="s">
        <v>15</v>
      </c>
      <c r="I782">
        <v>1</v>
      </c>
      <c r="J782" t="s">
        <v>45</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40</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40</v>
      </c>
      <c r="D814" s="3">
        <v>70000</v>
      </c>
      <c r="E814">
        <v>4</v>
      </c>
      <c r="F814" t="s">
        <v>13</v>
      </c>
      <c r="G814" t="s">
        <v>28</v>
      </c>
      <c r="H814" t="s">
        <v>15</v>
      </c>
      <c r="I814">
        <v>2</v>
      </c>
      <c r="J814" t="s">
        <v>45</v>
      </c>
      <c r="K814" t="s">
        <v>32</v>
      </c>
      <c r="L814">
        <v>61</v>
      </c>
      <c r="M814" t="str">
        <f t="shared" si="12"/>
        <v>Old</v>
      </c>
      <c r="N814" t="s">
        <v>18</v>
      </c>
    </row>
    <row r="815" spans="1:14" x14ac:dyDescent="0.3">
      <c r="A815">
        <v>25899</v>
      </c>
      <c r="B815" t="s">
        <v>36</v>
      </c>
      <c r="C815" t="s">
        <v>40</v>
      </c>
      <c r="D815" s="3">
        <v>70000</v>
      </c>
      <c r="E815">
        <v>2</v>
      </c>
      <c r="F815" t="s">
        <v>27</v>
      </c>
      <c r="G815" t="s">
        <v>21</v>
      </c>
      <c r="H815" t="s">
        <v>15</v>
      </c>
      <c r="I815">
        <v>2</v>
      </c>
      <c r="J815" t="s">
        <v>45</v>
      </c>
      <c r="K815" t="s">
        <v>32</v>
      </c>
      <c r="L815">
        <v>53</v>
      </c>
      <c r="M815" t="str">
        <f t="shared" si="12"/>
        <v>Middle Age</v>
      </c>
      <c r="N815" t="s">
        <v>18</v>
      </c>
    </row>
    <row r="816" spans="1:14" x14ac:dyDescent="0.3">
      <c r="A816">
        <v>13351</v>
      </c>
      <c r="B816" t="s">
        <v>37</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40</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40</v>
      </c>
      <c r="D835" s="3">
        <v>70000</v>
      </c>
      <c r="E835">
        <v>0</v>
      </c>
      <c r="F835" t="s">
        <v>13</v>
      </c>
      <c r="G835" t="s">
        <v>21</v>
      </c>
      <c r="H835" t="s">
        <v>18</v>
      </c>
      <c r="I835">
        <v>1</v>
      </c>
      <c r="J835" t="s">
        <v>16</v>
      </c>
      <c r="K835" t="s">
        <v>32</v>
      </c>
      <c r="L835">
        <v>37</v>
      </c>
      <c r="M835" t="str">
        <f t="shared" ref="M835:M898" si="13">IF(L835&gt;54,"Old",IF( L835 &gt;=31,"Middle Age",IF(L835&lt;31,"Adolescent","invalid")))</f>
        <v>Middle Age</v>
      </c>
      <c r="N835" t="s">
        <v>15</v>
      </c>
    </row>
    <row r="836" spans="1:14" x14ac:dyDescent="0.3">
      <c r="A836">
        <v>19889</v>
      </c>
      <c r="B836" t="s">
        <v>37</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45</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3">
        <v>40000</v>
      </c>
      <c r="E846">
        <v>5</v>
      </c>
      <c r="F846" t="s">
        <v>27</v>
      </c>
      <c r="G846" t="s">
        <v>21</v>
      </c>
      <c r="H846" t="s">
        <v>15</v>
      </c>
      <c r="I846">
        <v>2</v>
      </c>
      <c r="J846" t="s">
        <v>45</v>
      </c>
      <c r="K846" t="s">
        <v>32</v>
      </c>
      <c r="L846">
        <v>60</v>
      </c>
      <c r="M846" t="str">
        <f t="shared" si="13"/>
        <v>Old</v>
      </c>
      <c r="N846" t="s">
        <v>18</v>
      </c>
    </row>
    <row r="847" spans="1:14" x14ac:dyDescent="0.3">
      <c r="A847">
        <v>25343</v>
      </c>
      <c r="B847" t="s">
        <v>37</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40</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45</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45</v>
      </c>
      <c r="K870" t="s">
        <v>32</v>
      </c>
      <c r="L870">
        <v>60</v>
      </c>
      <c r="M870" t="str">
        <f t="shared" si="13"/>
        <v>Old</v>
      </c>
      <c r="N870" t="s">
        <v>15</v>
      </c>
    </row>
    <row r="871" spans="1:14" x14ac:dyDescent="0.3">
      <c r="A871">
        <v>26065</v>
      </c>
      <c r="B871" t="s">
        <v>37</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45</v>
      </c>
      <c r="K873" t="s">
        <v>32</v>
      </c>
      <c r="L873">
        <v>55</v>
      </c>
      <c r="M873" t="str">
        <f t="shared" si="13"/>
        <v>Old</v>
      </c>
      <c r="N873" t="s">
        <v>18</v>
      </c>
    </row>
    <row r="874" spans="1:14" x14ac:dyDescent="0.3">
      <c r="A874">
        <v>22118</v>
      </c>
      <c r="B874" t="s">
        <v>37</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 L899 &gt;=31,"Middle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45</v>
      </c>
      <c r="K900" t="s">
        <v>32</v>
      </c>
      <c r="L900">
        <v>60</v>
      </c>
      <c r="M900" t="str">
        <f t="shared" si="14"/>
        <v>Old</v>
      </c>
      <c r="N900" t="s">
        <v>15</v>
      </c>
    </row>
    <row r="901" spans="1:14" x14ac:dyDescent="0.3">
      <c r="A901">
        <v>28192</v>
      </c>
      <c r="B901" t="s">
        <v>36</v>
      </c>
      <c r="C901" t="s">
        <v>40</v>
      </c>
      <c r="D901" s="3">
        <v>70000</v>
      </c>
      <c r="E901">
        <v>5</v>
      </c>
      <c r="F901" t="s">
        <v>31</v>
      </c>
      <c r="G901" t="s">
        <v>21</v>
      </c>
      <c r="H901" t="s">
        <v>15</v>
      </c>
      <c r="I901">
        <v>3</v>
      </c>
      <c r="J901" t="s">
        <v>45</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45</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45</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3">
        <v>40000</v>
      </c>
      <c r="E921">
        <v>4</v>
      </c>
      <c r="F921" t="s">
        <v>27</v>
      </c>
      <c r="G921" t="s">
        <v>21</v>
      </c>
      <c r="H921" t="s">
        <v>15</v>
      </c>
      <c r="I921">
        <v>2</v>
      </c>
      <c r="J921" t="s">
        <v>45</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40</v>
      </c>
      <c r="D928" s="3">
        <v>40000</v>
      </c>
      <c r="E928">
        <v>2</v>
      </c>
      <c r="F928" t="s">
        <v>27</v>
      </c>
      <c r="G928" t="s">
        <v>21</v>
      </c>
      <c r="H928" t="s">
        <v>15</v>
      </c>
      <c r="I928">
        <v>2</v>
      </c>
      <c r="J928" t="s">
        <v>45</v>
      </c>
      <c r="K928" t="s">
        <v>32</v>
      </c>
      <c r="L928">
        <v>57</v>
      </c>
      <c r="M928" t="str">
        <f t="shared" si="14"/>
        <v>Old</v>
      </c>
      <c r="N928" t="s">
        <v>18</v>
      </c>
    </row>
    <row r="929" spans="1:14" x14ac:dyDescent="0.3">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45</v>
      </c>
      <c r="K932" t="s">
        <v>32</v>
      </c>
      <c r="L932">
        <v>47</v>
      </c>
      <c r="M932" t="str">
        <f t="shared" si="14"/>
        <v>Middle Age</v>
      </c>
      <c r="N932" t="s">
        <v>18</v>
      </c>
    </row>
    <row r="933" spans="1:14" x14ac:dyDescent="0.3">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40</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45</v>
      </c>
      <c r="K951" t="s">
        <v>32</v>
      </c>
      <c r="L951">
        <v>53</v>
      </c>
      <c r="M951" t="str">
        <f t="shared" si="14"/>
        <v>Middle Age</v>
      </c>
      <c r="N951" t="s">
        <v>18</v>
      </c>
    </row>
    <row r="952" spans="1:14" x14ac:dyDescent="0.3">
      <c r="A952">
        <v>11788</v>
      </c>
      <c r="B952" t="s">
        <v>37</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40</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3">
        <v>120000</v>
      </c>
      <c r="E963">
        <v>2</v>
      </c>
      <c r="F963" t="s">
        <v>13</v>
      </c>
      <c r="G963" t="s">
        <v>28</v>
      </c>
      <c r="H963" t="s">
        <v>15</v>
      </c>
      <c r="I963">
        <v>3</v>
      </c>
      <c r="J963" t="s">
        <v>23</v>
      </c>
      <c r="K963" t="s">
        <v>32</v>
      </c>
      <c r="L963">
        <v>62</v>
      </c>
      <c r="M963" t="str">
        <f t="shared" ref="M963:M1001" si="15">IF(L963&gt;54,"Old",IF( L963 &gt;=31,"Middle Age",IF(L963&lt;31,"Adolescent","invalid")))</f>
        <v>Old</v>
      </c>
      <c r="N963" t="s">
        <v>18</v>
      </c>
    </row>
    <row r="964" spans="1:14" x14ac:dyDescent="0.3">
      <c r="A964">
        <v>16813</v>
      </c>
      <c r="B964" t="s">
        <v>36</v>
      </c>
      <c r="C964" t="s">
        <v>38</v>
      </c>
      <c r="D964" s="3">
        <v>60000</v>
      </c>
      <c r="E964">
        <v>2</v>
      </c>
      <c r="F964" t="s">
        <v>19</v>
      </c>
      <c r="G964" t="s">
        <v>21</v>
      </c>
      <c r="H964" t="s">
        <v>15</v>
      </c>
      <c r="I964">
        <v>2</v>
      </c>
      <c r="J964" t="s">
        <v>45</v>
      </c>
      <c r="K964" t="s">
        <v>32</v>
      </c>
      <c r="L964">
        <v>55</v>
      </c>
      <c r="M964" t="str">
        <f t="shared" si="15"/>
        <v>Old</v>
      </c>
      <c r="N964" t="s">
        <v>18</v>
      </c>
    </row>
    <row r="965" spans="1:14" x14ac:dyDescent="0.3">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45</v>
      </c>
      <c r="K966" t="s">
        <v>32</v>
      </c>
      <c r="L966">
        <v>56</v>
      </c>
      <c r="M966" t="str">
        <f t="shared" si="15"/>
        <v>Old</v>
      </c>
      <c r="N966" t="s">
        <v>18</v>
      </c>
    </row>
    <row r="967" spans="1:14" x14ac:dyDescent="0.3">
      <c r="A967">
        <v>27756</v>
      </c>
      <c r="B967" t="s">
        <v>37</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3">
        <v>60000</v>
      </c>
      <c r="E978">
        <v>3</v>
      </c>
      <c r="F978" t="s">
        <v>13</v>
      </c>
      <c r="G978" t="s">
        <v>28</v>
      </c>
      <c r="H978" t="s">
        <v>15</v>
      </c>
      <c r="I978">
        <v>2</v>
      </c>
      <c r="J978" t="s">
        <v>45</v>
      </c>
      <c r="K978" t="s">
        <v>32</v>
      </c>
      <c r="L978">
        <v>66</v>
      </c>
      <c r="M978" t="str">
        <f t="shared" si="15"/>
        <v>Old</v>
      </c>
      <c r="N978" t="s">
        <v>18</v>
      </c>
    </row>
    <row r="979" spans="1:14" x14ac:dyDescent="0.3">
      <c r="A979">
        <v>19741</v>
      </c>
      <c r="B979" t="s">
        <v>37</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40</v>
      </c>
      <c r="D982" s="3">
        <v>80000</v>
      </c>
      <c r="E982">
        <v>3</v>
      </c>
      <c r="F982" t="s">
        <v>13</v>
      </c>
      <c r="G982" t="s">
        <v>14</v>
      </c>
      <c r="H982" t="s">
        <v>15</v>
      </c>
      <c r="I982">
        <v>3</v>
      </c>
      <c r="J982" t="s">
        <v>45</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45</v>
      </c>
      <c r="K988" t="s">
        <v>32</v>
      </c>
      <c r="L988">
        <v>60</v>
      </c>
      <c r="M988" t="str">
        <f t="shared" si="15"/>
        <v>Old</v>
      </c>
      <c r="N988" t="s">
        <v>15</v>
      </c>
    </row>
    <row r="989" spans="1:14" x14ac:dyDescent="0.3">
      <c r="A989">
        <v>28972</v>
      </c>
      <c r="B989" t="s">
        <v>37</v>
      </c>
      <c r="C989" t="s">
        <v>40</v>
      </c>
      <c r="D989" s="3">
        <v>60000</v>
      </c>
      <c r="E989">
        <v>3</v>
      </c>
      <c r="F989" t="s">
        <v>31</v>
      </c>
      <c r="G989" t="s">
        <v>28</v>
      </c>
      <c r="H989" t="s">
        <v>15</v>
      </c>
      <c r="I989">
        <v>2</v>
      </c>
      <c r="J989" t="s">
        <v>45</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45</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45</v>
      </c>
      <c r="K991" t="s">
        <v>32</v>
      </c>
      <c r="L991">
        <v>42</v>
      </c>
      <c r="M991" t="str">
        <f t="shared" si="15"/>
        <v>Middle Age</v>
      </c>
      <c r="N991" t="s">
        <v>18</v>
      </c>
    </row>
    <row r="992" spans="1:14" x14ac:dyDescent="0.3">
      <c r="A992">
        <v>14332</v>
      </c>
      <c r="B992" t="s">
        <v>37</v>
      </c>
      <c r="C992" t="s">
        <v>40</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45</v>
      </c>
      <c r="K1001" t="s">
        <v>32</v>
      </c>
      <c r="L1001">
        <v>53</v>
      </c>
      <c r="M1001" t="str">
        <f t="shared" si="15"/>
        <v>Middle Age</v>
      </c>
      <c r="N1001" t="s">
        <v>15</v>
      </c>
    </row>
  </sheetData>
  <autoFilter ref="A1:N1001" xr:uid="{42B8F85A-3DBD-4EFD-BDC0-CA8A1F7698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8FE8-8F8F-4EAB-BBB7-1473E59F141D}">
  <dimension ref="A3:E42"/>
  <sheetViews>
    <sheetView topLeftCell="A27" workbookViewId="0">
      <selection activeCell="O43" sqref="O43"/>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 min="6" max="10" width="7.5546875" bestFit="1" customWidth="1"/>
    <col min="11" max="17" width="9.109375" bestFit="1" customWidth="1"/>
    <col min="18" max="18" width="10.77734375" bestFit="1" customWidth="1"/>
  </cols>
  <sheetData>
    <row r="3" spans="1:5" x14ac:dyDescent="0.3">
      <c r="A3" s="4" t="s">
        <v>44</v>
      </c>
      <c r="B3" s="4" t="s">
        <v>41</v>
      </c>
    </row>
    <row r="4" spans="1:5" x14ac:dyDescent="0.3">
      <c r="A4" s="4" t="s">
        <v>43</v>
      </c>
      <c r="B4" t="s">
        <v>18</v>
      </c>
      <c r="C4" t="s">
        <v>15</v>
      </c>
      <c r="D4" t="s">
        <v>42</v>
      </c>
    </row>
    <row r="5" spans="1:5" x14ac:dyDescent="0.3">
      <c r="A5" s="5" t="s">
        <v>40</v>
      </c>
      <c r="B5" s="8">
        <v>66428.571428571435</v>
      </c>
      <c r="C5" s="8">
        <v>66000</v>
      </c>
      <c r="D5" s="8">
        <v>66206.896551724145</v>
      </c>
      <c r="E5" s="7"/>
    </row>
    <row r="6" spans="1:5" x14ac:dyDescent="0.3">
      <c r="A6" s="5" t="s">
        <v>38</v>
      </c>
      <c r="B6" s="8">
        <v>75384.61538461539</v>
      </c>
      <c r="C6" s="8">
        <v>70625</v>
      </c>
      <c r="D6" s="8">
        <v>73571.428571428565</v>
      </c>
      <c r="E6" s="7"/>
    </row>
    <row r="7" spans="1:5" x14ac:dyDescent="0.3">
      <c r="A7" s="5" t="s">
        <v>42</v>
      </c>
      <c r="B7" s="8">
        <v>72250</v>
      </c>
      <c r="C7" s="8">
        <v>68387.096774193546</v>
      </c>
      <c r="D7" s="8">
        <v>70563.380281690144</v>
      </c>
      <c r="E7" s="7"/>
    </row>
    <row r="8" spans="1:5" x14ac:dyDescent="0.3">
      <c r="B8" s="6"/>
      <c r="C8" s="6"/>
      <c r="D8" s="6"/>
    </row>
    <row r="21" spans="1:4" x14ac:dyDescent="0.3">
      <c r="A21" s="4" t="s">
        <v>46</v>
      </c>
      <c r="B21" s="4" t="s">
        <v>41</v>
      </c>
    </row>
    <row r="22" spans="1:4" x14ac:dyDescent="0.3">
      <c r="A22" s="4" t="s">
        <v>43</v>
      </c>
      <c r="B22" t="s">
        <v>18</v>
      </c>
      <c r="C22" t="s">
        <v>15</v>
      </c>
      <c r="D22" t="s">
        <v>42</v>
      </c>
    </row>
    <row r="23" spans="1:4" x14ac:dyDescent="0.3">
      <c r="A23" s="5" t="s">
        <v>16</v>
      </c>
      <c r="B23" s="9">
        <v>18</v>
      </c>
      <c r="C23" s="9">
        <v>13</v>
      </c>
      <c r="D23" s="9">
        <v>31</v>
      </c>
    </row>
    <row r="24" spans="1:4" x14ac:dyDescent="0.3">
      <c r="A24" s="5" t="s">
        <v>26</v>
      </c>
      <c r="B24" s="9">
        <v>7</v>
      </c>
      <c r="C24" s="9">
        <v>5</v>
      </c>
      <c r="D24" s="9">
        <v>12</v>
      </c>
    </row>
    <row r="25" spans="1:4" x14ac:dyDescent="0.3">
      <c r="A25" s="5" t="s">
        <v>22</v>
      </c>
      <c r="B25" s="9">
        <v>4</v>
      </c>
      <c r="C25" s="9">
        <v>12</v>
      </c>
      <c r="D25" s="9">
        <v>16</v>
      </c>
    </row>
    <row r="26" spans="1:4" x14ac:dyDescent="0.3">
      <c r="A26" s="5" t="s">
        <v>23</v>
      </c>
      <c r="B26" s="9">
        <v>7</v>
      </c>
      <c r="C26" s="9">
        <v>1</v>
      </c>
      <c r="D26" s="9">
        <v>8</v>
      </c>
    </row>
    <row r="27" spans="1:4" x14ac:dyDescent="0.3">
      <c r="A27" s="5" t="s">
        <v>45</v>
      </c>
      <c r="B27" s="9">
        <v>4</v>
      </c>
      <c r="C27" s="9"/>
      <c r="D27" s="9">
        <v>4</v>
      </c>
    </row>
    <row r="28" spans="1:4" x14ac:dyDescent="0.3">
      <c r="A28" s="5" t="s">
        <v>42</v>
      </c>
      <c r="B28" s="9">
        <v>40</v>
      </c>
      <c r="C28" s="9">
        <v>31</v>
      </c>
      <c r="D28" s="9">
        <v>71</v>
      </c>
    </row>
    <row r="38" spans="1:4" x14ac:dyDescent="0.3">
      <c r="A38" s="4" t="s">
        <v>46</v>
      </c>
      <c r="B38" s="4" t="s">
        <v>41</v>
      </c>
    </row>
    <row r="39" spans="1:4" x14ac:dyDescent="0.3">
      <c r="A39" s="4" t="s">
        <v>43</v>
      </c>
      <c r="B39" t="s">
        <v>18</v>
      </c>
      <c r="C39" t="s">
        <v>15</v>
      </c>
      <c r="D39" t="s">
        <v>42</v>
      </c>
    </row>
    <row r="40" spans="1:4" x14ac:dyDescent="0.3">
      <c r="A40" s="5" t="s">
        <v>47</v>
      </c>
      <c r="B40" s="9">
        <v>25</v>
      </c>
      <c r="C40" s="9">
        <v>30</v>
      </c>
      <c r="D40" s="9">
        <v>55</v>
      </c>
    </row>
    <row r="41" spans="1:4" x14ac:dyDescent="0.3">
      <c r="A41" s="5" t="s">
        <v>48</v>
      </c>
      <c r="B41" s="9">
        <v>15</v>
      </c>
      <c r="C41" s="9">
        <v>1</v>
      </c>
      <c r="D41" s="9">
        <v>16</v>
      </c>
    </row>
    <row r="42" spans="1:4" x14ac:dyDescent="0.3">
      <c r="A42" s="5" t="s">
        <v>42</v>
      </c>
      <c r="B42" s="9">
        <v>40</v>
      </c>
      <c r="C42" s="9">
        <v>31</v>
      </c>
      <c r="D42" s="9">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D4190-AE0D-4488-9D09-5AF87367817E}">
  <dimension ref="A1:K7"/>
  <sheetViews>
    <sheetView showGridLines="0" tabSelected="1" topLeftCell="A5" workbookViewId="0">
      <selection activeCell="P17" sqref="P17"/>
    </sheetView>
  </sheetViews>
  <sheetFormatPr defaultRowHeight="14.4" x14ac:dyDescent="0.3"/>
  <sheetData>
    <row r="1" spans="1:11" ht="14.4" customHeight="1" x14ac:dyDescent="0.3">
      <c r="A1" s="11" t="s">
        <v>49</v>
      </c>
      <c r="B1" s="10"/>
      <c r="C1" s="10"/>
      <c r="D1" s="10"/>
      <c r="E1" s="10"/>
      <c r="F1" s="10"/>
      <c r="G1" s="10"/>
      <c r="H1" s="10"/>
      <c r="I1" s="10"/>
      <c r="J1" s="10"/>
      <c r="K1" s="10"/>
    </row>
    <row r="2" spans="1:11" x14ac:dyDescent="0.3">
      <c r="A2" s="10"/>
      <c r="B2" s="10"/>
      <c r="C2" s="10"/>
      <c r="D2" s="10"/>
      <c r="E2" s="10"/>
      <c r="F2" s="10"/>
      <c r="G2" s="10"/>
      <c r="H2" s="10"/>
      <c r="I2" s="10"/>
      <c r="J2" s="10"/>
      <c r="K2" s="10"/>
    </row>
    <row r="3" spans="1:11" x14ac:dyDescent="0.3">
      <c r="A3" s="10"/>
      <c r="B3" s="10"/>
      <c r="C3" s="10"/>
      <c r="D3" s="10"/>
      <c r="E3" s="10"/>
      <c r="F3" s="10"/>
      <c r="G3" s="10"/>
      <c r="H3" s="10"/>
      <c r="I3" s="10"/>
      <c r="J3" s="10"/>
      <c r="K3" s="10"/>
    </row>
    <row r="4" spans="1:11" x14ac:dyDescent="0.3">
      <c r="A4" s="10"/>
      <c r="B4" s="10"/>
      <c r="C4" s="10"/>
      <c r="D4" s="10"/>
      <c r="E4" s="10"/>
      <c r="F4" s="10"/>
      <c r="G4" s="10"/>
      <c r="H4" s="10"/>
      <c r="I4" s="10"/>
      <c r="J4" s="10"/>
      <c r="K4" s="10"/>
    </row>
    <row r="5" spans="1:11" x14ac:dyDescent="0.3">
      <c r="A5" s="10"/>
      <c r="B5" s="10"/>
      <c r="C5" s="10"/>
      <c r="D5" s="10"/>
      <c r="E5" s="10"/>
      <c r="F5" s="10"/>
      <c r="G5" s="10"/>
      <c r="H5" s="10"/>
      <c r="I5" s="10"/>
      <c r="J5" s="10"/>
      <c r="K5" s="10"/>
    </row>
    <row r="7" spans="1:11" x14ac:dyDescent="0.3">
      <c r="F7" s="12"/>
      <c r="I7" s="13"/>
    </row>
  </sheetData>
  <mergeCells count="1">
    <mergeCell ref="A1: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 N.KARUNAKARAN</cp:lastModifiedBy>
  <dcterms:created xsi:type="dcterms:W3CDTF">2022-03-18T02:50:57Z</dcterms:created>
  <dcterms:modified xsi:type="dcterms:W3CDTF">2026-07-24T07:02:56Z</dcterms:modified>
</cp:coreProperties>
</file>